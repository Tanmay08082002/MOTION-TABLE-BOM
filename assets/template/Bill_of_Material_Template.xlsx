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\Downloads\"/>
    </mc:Choice>
  </mc:AlternateContent>
  <xr:revisionPtr revIDLastSave="0" documentId="13_ncr:1_{EC8FA10E-1026-471B-ACF1-AC1FCA270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ACE WOOD ITEMWISE BOM" sheetId="1" r:id="rId1"/>
    <sheet name="FULL_HEIGHT_WALLSUMMARY" sheetId="2" r:id="rId2"/>
    <sheet name="Params" sheetId="3" r:id="rId3"/>
  </sheets>
  <definedNames>
    <definedName name="val_rng">OFFSET('SPACE WOOD ITEMWISE BOM'!$A$9,1,23,COUNTA('SPACE WOOD ITEMWISE BOM'!$A:$A)-13,1)</definedName>
  </definedNames>
  <calcPr calcId="191029"/>
</workbook>
</file>

<file path=xl/calcChain.xml><?xml version="1.0" encoding="utf-8"?>
<calcChain xmlns="http://schemas.openxmlformats.org/spreadsheetml/2006/main">
  <c r="B1" i="3" l="1"/>
  <c r="F19" i="1" l="1"/>
  <c r="F20" i="1" l="1"/>
  <c r="E40" i="1"/>
  <c r="F21" i="1" l="1"/>
  <c r="F22" i="1" s="1"/>
  <c r="F23" i="1" l="1"/>
  <c r="F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2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DELL: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<sst xmlns="http://schemas.openxmlformats.org/spreadsheetml/2006/main" count="112" uniqueCount="94">
  <si>
    <t>PO NUMBER:(20)</t>
  </si>
  <si>
    <t>PO DATE:(10)</t>
  </si>
  <si>
    <t>MMDDYY</t>
  </si>
  <si>
    <t>S.N.</t>
  </si>
  <si>
    <t>Electrical Cut-outs required :(1)</t>
  </si>
  <si>
    <t>Fabric to be supplied by :(8)</t>
  </si>
  <si>
    <t>Glass to be supplied by :(8)</t>
  </si>
  <si>
    <t>Prepared By :(12)</t>
  </si>
  <si>
    <t>Checked By :(12)</t>
  </si>
  <si>
    <t>Approved By :(12)</t>
  </si>
  <si>
    <t>FULL HEIGHT PARTITION WALL AREA SUMMARY</t>
  </si>
  <si>
    <t>SR NO</t>
  </si>
  <si>
    <t>TYPE &amp; SPECIFICATION</t>
  </si>
  <si>
    <t>UNIT</t>
  </si>
  <si>
    <t>QTY</t>
  </si>
  <si>
    <t>ALTERNATE UNIT FOR DOORS</t>
  </si>
  <si>
    <t>AREA (SQ FT)</t>
  </si>
  <si>
    <t>RATE</t>
  </si>
  <si>
    <t>AMOUNT</t>
  </si>
  <si>
    <t>FULL HEIGHT CABIN GLASS DOOR</t>
  </si>
  <si>
    <t>NOS</t>
  </si>
  <si>
    <t>SQFT</t>
  </si>
  <si>
    <t>FULL HEIGHT CABIN WOODEN DOOR</t>
  </si>
  <si>
    <t>FULL HEIGHT CABIN VISION PANEL DOOR</t>
  </si>
  <si>
    <t>FULL HEIGHT CABIN SOLID PARTITION</t>
  </si>
  <si>
    <t>-</t>
  </si>
  <si>
    <t>FULL HEIGHT CABIN GLASS PARTITION</t>
  </si>
  <si>
    <t>FULL HEIGHT CABIN VANISHING BLIND PARTITION</t>
  </si>
  <si>
    <t xml:space="preserve">TOTAL </t>
  </si>
  <si>
    <t>FULL HEIGHT CABIN PERIMETER</t>
  </si>
  <si>
    <t>RFT</t>
  </si>
  <si>
    <t>GST</t>
  </si>
  <si>
    <t>TOTAL BASIC VALUE</t>
  </si>
  <si>
    <t>INSTALLATION &amp; TRANSPORTATION</t>
  </si>
  <si>
    <t>OCTROI</t>
  </si>
  <si>
    <t xml:space="preserve">DISCOUNT % </t>
  </si>
  <si>
    <t>NAME OF PROJECT :(50)</t>
  </si>
  <si>
    <t>ZOHO NUMBER. :(14)</t>
  </si>
  <si>
    <t>NAME OF DEALER :(50)</t>
  </si>
  <si>
    <t>ZERO DATE :(10)</t>
  </si>
  <si>
    <t>BOM RELEASE DATE :(10)</t>
  </si>
  <si>
    <t>REVISED BOM RELEASE DATE :(10)</t>
  </si>
  <si>
    <t>TOTAL ORDER VALUE (12)</t>
  </si>
  <si>
    <t>End Data Row</t>
  </si>
  <si>
    <t>PRODUCT CODE</t>
  </si>
  <si>
    <t>BILLING CODE</t>
  </si>
  <si>
    <t>PRODUCT DESCRIPTION</t>
  </si>
  <si>
    <t>COLOR CODE</t>
  </si>
  <si>
    <t>COLOR DESCRIPTION</t>
  </si>
  <si>
    <t>HEIGHT</t>
  </si>
  <si>
    <t>WIDTH</t>
  </si>
  <si>
    <t>DEPTH</t>
  </si>
  <si>
    <t>LP</t>
  </si>
  <si>
    <t>FINAL BASIC (AFTER DISCOUNT)</t>
  </si>
  <si>
    <t>COL2</t>
  </si>
  <si>
    <t>COL3</t>
  </si>
  <si>
    <t>COL4</t>
  </si>
  <si>
    <t>COL5</t>
  </si>
  <si>
    <t>COL6</t>
  </si>
  <si>
    <t>VENDOR</t>
  </si>
  <si>
    <t>REMARK</t>
  </si>
  <si>
    <t>THICKNES</t>
  </si>
  <si>
    <t>CLST CODE</t>
  </si>
  <si>
    <t>PRODUCT FLAG</t>
  </si>
  <si>
    <t>DWG NO.</t>
  </si>
  <si>
    <t>DWG REV</t>
  </si>
  <si>
    <t>PROJ DWG</t>
  </si>
  <si>
    <t>PROJ DWG REV</t>
  </si>
  <si>
    <t>MPU2M3SLOFJM</t>
  </si>
  <si>
    <t>MOTION PLUS U/S RECTANGULAR 3 STAGE 2 MOTOR FOR LINEAR ONE SIDED(JC35TF-R13S) JIECANG MAKE</t>
  </si>
  <si>
    <t>MPFSTPPBCECRI060</t>
  </si>
  <si>
    <t>MOTION PLUS FREE STANDING WORKSTATION STR TOP 25MM PPB WITH FRONT SIDE CHAMFER EDGE &amp; COR RAD 1800LX600D</t>
  </si>
  <si>
    <t>MPHCMJMOS180L</t>
  </si>
  <si>
    <t>MOTION PLUS HORIZONTAL CROSS MEMBER FOR JIECANG MAKE FREE STANDING WORKSTATION U/S @1800L</t>
  </si>
  <si>
    <t>MPTSBJMOS600D</t>
  </si>
  <si>
    <t>MOTION PLUS TOP SUPPORT BRACKET FOR JIECANG MAKE FREE STANDING WORKSTATION U/S @600D</t>
  </si>
  <si>
    <t>MPFSJMOS60D</t>
  </si>
  <si>
    <t>MOTION PLUS FOOT (SET) FOR JIECANG MAKE ONE SIDED MOTION U/S @600D (FOR TOP DEPTH 600)</t>
  </si>
  <si>
    <t>AAFSC450145</t>
  </si>
  <si>
    <t>ALUMINIUM ACCESS FLAP WITH SOFT CLOSE DIECASTED 450X145</t>
  </si>
  <si>
    <t>SMBC450</t>
  </si>
  <si>
    <t>SWITCH MOUNTING BOX CABIN+CONF TBL 450LX212DX125H</t>
  </si>
  <si>
    <t>SMBSP450</t>
  </si>
  <si>
    <t>SWITCH MOUNTING BOX SWITCH PLATE 450LX168D</t>
  </si>
  <si>
    <t>MPVFTSMB</t>
  </si>
  <si>
    <t>MOTION PLUS VERTIBRE ( FLOOR TO SWITCH MOUNTING BOX) (BOOKING QTY-2 NO.S)</t>
  </si>
  <si>
    <t>SW-OF-GN-59281</t>
  </si>
  <si>
    <t>SW-OF-GN-58314</t>
  </si>
  <si>
    <t>SW-OF-GN-55401</t>
  </si>
  <si>
    <t>SW-OF-GN-57631</t>
  </si>
  <si>
    <t>SW-OF-LN-4045</t>
  </si>
  <si>
    <t>SW-OF-SD-08738</t>
  </si>
  <si>
    <t>SW-OF-SD-08737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</si>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</sst>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00"/>
  </numFmts>
  <fonts count="1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i/>
      <sz val="8"/>
      <color indexed="12"/>
      <name val="Arial"/>
      <family val="2"/>
    </font>
    <font>
      <b/>
      <i/>
      <sz val="8"/>
      <color indexed="18"/>
      <name val="Times New Roman"/>
      <family val="1"/>
    </font>
    <font>
      <b/>
      <i/>
      <sz val="8"/>
      <color indexed="18"/>
      <name val="Times New Roman"/>
      <family val="1"/>
      <charset val="1"/>
    </font>
    <font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color indexed="12"/>
      <name val="Arial"/>
      <family val="2"/>
    </font>
    <font>
      <b/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centerContinuous" vertical="center"/>
    </xf>
    <xf numFmtId="0" fontId="6" fillId="0" borderId="3" xfId="1" applyFont="1" applyBorder="1" applyAlignment="1">
      <alignment horizontal="centerContinuous" vertical="center"/>
    </xf>
    <xf numFmtId="0" fontId="6" fillId="0" borderId="0" xfId="1" applyFont="1" applyAlignment="1">
      <alignment horizontal="right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6" fillId="2" borderId="4" xfId="1" applyFont="1" applyFill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left" vertical="center"/>
    </xf>
    <xf numFmtId="1" fontId="6" fillId="0" borderId="3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8" fillId="0" borderId="3" xfId="1" applyFont="1" applyBorder="1" applyAlignment="1">
      <alignment vertical="center"/>
    </xf>
    <xf numFmtId="0" fontId="8" fillId="0" borderId="0" xfId="1" applyFont="1" applyAlignment="1">
      <alignment vertical="center"/>
    </xf>
    <xf numFmtId="1" fontId="6" fillId="0" borderId="7" xfId="1" applyNumberFormat="1" applyFont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0" fontId="6" fillId="0" borderId="10" xfId="1" applyNumberFormat="1" applyFont="1" applyBorder="1" applyAlignment="1">
      <alignment horizontal="center" vertical="center"/>
    </xf>
    <xf numFmtId="1" fontId="6" fillId="0" borderId="11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" fontId="6" fillId="0" borderId="0" xfId="1" applyNumberFormat="1" applyFont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/>
    <xf numFmtId="164" fontId="0" fillId="0" borderId="0" xfId="0" applyNumberFormat="1"/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12" fillId="0" borderId="9" xfId="0" applyFont="1" applyBorder="1" applyAlignment="1">
      <alignment horizontal="left" vertical="center"/>
    </xf>
    <xf numFmtId="164" fontId="0" fillId="0" borderId="9" xfId="0" applyNumberFormat="1" applyBorder="1"/>
    <xf numFmtId="2" fontId="6" fillId="0" borderId="0" xfId="1" applyNumberFormat="1" applyFont="1" applyAlignment="1">
      <alignment horizontal="right" vertical="center"/>
    </xf>
    <xf numFmtId="2" fontId="6" fillId="0" borderId="9" xfId="1" applyNumberFormat="1" applyFont="1" applyBorder="1" applyAlignment="1">
      <alignment horizontal="right" vertical="center"/>
    </xf>
    <xf numFmtId="0" fontId="4" fillId="0" borderId="0" xfId="1" applyAlignment="1">
      <alignment vertical="center"/>
    </xf>
    <xf numFmtId="0" fontId="0" fillId="0" borderId="0" xfId="0" applyAlignment="1">
      <alignment vertical="center"/>
    </xf>
    <xf numFmtId="0" fontId="6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center"/>
    </xf>
    <xf numFmtId="0" fontId="12" fillId="2" borderId="9" xfId="1" applyFont="1" applyFill="1" applyBorder="1" applyAlignment="1">
      <alignment horizontal="left" vertical="center" wrapText="1"/>
    </xf>
    <xf numFmtId="0" fontId="12" fillId="2" borderId="9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vertical="center"/>
    </xf>
    <xf numFmtId="0" fontId="4" fillId="0" borderId="9" xfId="1" applyBorder="1" applyAlignment="1">
      <alignment horizontal="center" vertical="center"/>
    </xf>
    <xf numFmtId="10" fontId="12" fillId="0" borderId="9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 wrapText="1"/>
    </xf>
    <xf numFmtId="0" fontId="12" fillId="2" borderId="8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12" xfId="1" applyBorder="1" applyAlignment="1">
      <alignment horizontal="center" vertical="center"/>
    </xf>
    <xf numFmtId="2" fontId="6" fillId="0" borderId="12" xfId="1" applyNumberFormat="1" applyFont="1" applyBorder="1" applyAlignment="1">
      <alignment horizontal="right" vertical="center"/>
    </xf>
    <xf numFmtId="0" fontId="6" fillId="2" borderId="14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6" fillId="0" borderId="16" xfId="1" applyFont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0" fontId="8" fillId="0" borderId="11" xfId="1" applyFont="1" applyBorder="1" applyAlignment="1">
      <alignment vertical="center"/>
    </xf>
    <xf numFmtId="0" fontId="4" fillId="4" borderId="9" xfId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" fontId="4" fillId="4" borderId="9" xfId="1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4" borderId="9" xfId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4" fillId="5" borderId="9" xfId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horizontal="left" vertical="center" wrapText="1"/>
    </xf>
    <xf numFmtId="0" fontId="12" fillId="2" borderId="14" xfId="1" applyFont="1" applyFill="1" applyBorder="1" applyAlignment="1">
      <alignment horizontal="left" vertical="center" wrapText="1"/>
    </xf>
    <xf numFmtId="0" fontId="12" fillId="2" borderId="4" xfId="1" applyFont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12" xfId="0" applyBorder="1" applyAlignment="1">
      <alignment horizontal="right"/>
    </xf>
    <xf numFmtId="0" fontId="6" fillId="2" borderId="9" xfId="1" applyFont="1" applyFill="1" applyBorder="1" applyAlignment="1">
      <alignment horizontal="center" vertical="center" wrapText="1"/>
    </xf>
    <xf numFmtId="0" fontId="16" fillId="5" borderId="9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4" fillId="4" borderId="9" xfId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4" fillId="4" borderId="9" xfId="1" applyNumberFormat="1" applyFill="1" applyBorder="1" applyAlignment="1">
      <alignment horizontal="center" vertical="center" wrapText="1"/>
    </xf>
    <xf numFmtId="49" fontId="4" fillId="4" borderId="9" xfId="1" applyNumberFormat="1" applyFill="1" applyBorder="1" applyAlignment="1">
      <alignment horizontal="center" vertical="center" wrapText="1"/>
    </xf>
    <xf numFmtId="0" fontId="12" fillId="5" borderId="9" xfId="1" applyFont="1" applyFill="1" applyBorder="1" applyAlignment="1">
      <alignment horizontal="center" vertical="center"/>
    </xf>
    <xf numFmtId="0" fontId="4" fillId="5" borderId="9" xfId="1" applyFill="1" applyBorder="1" applyAlignment="1">
      <alignment horizontal="center" vertical="center"/>
    </xf>
    <xf numFmtId="0" fontId="15" fillId="4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_BOM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16330</xdr:colOff>
      <xdr:row>0</xdr:row>
      <xdr:rowOff>27215</xdr:rowOff>
    </xdr:from>
    <xdr:to>
      <xdr:col>3</xdr:col>
      <xdr:colOff>683559</xdr:colOff>
      <xdr:row>1</xdr:row>
      <xdr:rowOff>10886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0" y="27215"/>
          <a:ext cx="2204356" cy="4626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55"/>
  <sheetViews>
    <sheetView tabSelected="1" zoomScale="85" zoomScaleNormal="85" workbookViewId="0">
      <selection activeCell="S25" sqref="S25"/>
    </sheetView>
  </sheetViews>
  <sheetFormatPr defaultRowHeight="12.75" x14ac:dyDescent="0.2"/>
  <cols>
    <col min="1" max="1" width="5.5703125" customWidth="1"/>
    <col min="2" max="2" width="7.140625" customWidth="1"/>
    <col min="3" max="3" width="10.28515625" customWidth="1"/>
    <col min="4" max="4" width="19.28515625" customWidth="1"/>
    <col min="5" max="5" width="19.7109375" customWidth="1"/>
    <col min="6" max="6" width="119.42578125" bestFit="1" customWidth="1"/>
    <col min="7" max="7" width="8.42578125" customWidth="1"/>
    <col min="8" max="8" width="18.42578125" customWidth="1"/>
    <col min="9" max="9" width="7.85546875" customWidth="1"/>
    <col min="10" max="10" width="8.28515625" customWidth="1"/>
    <col min="11" max="11" width="8.42578125" customWidth="1"/>
    <col min="12" max="12" width="6.42578125" customWidth="1"/>
    <col min="13" max="13" width="5.5703125" style="76" customWidth="1"/>
    <col min="14" max="18" width="5.5703125" customWidth="1"/>
    <col min="19" max="19" width="16.28515625" bestFit="1" customWidth="1"/>
    <col min="20" max="20" width="5.5703125" customWidth="1"/>
    <col min="21" max="22" width="6" customWidth="1"/>
    <col min="23" max="23" width="7.7109375" style="76" customWidth="1"/>
    <col min="24" max="24" width="10.140625" style="76" customWidth="1"/>
    <col min="26" max="26" width="32" customWidth="1"/>
  </cols>
  <sheetData>
    <row r="1" spans="1:239" ht="37.5" customHeight="1" x14ac:dyDescent="0.2"/>
    <row r="2" spans="1:239" ht="6.75" customHeight="1" thickBot="1" x14ac:dyDescent="0.25">
      <c r="A2" s="5"/>
      <c r="B2" s="5"/>
      <c r="C2" s="5"/>
      <c r="D2" s="5"/>
      <c r="E2" s="5"/>
      <c r="F2" s="6"/>
      <c r="G2" s="7"/>
      <c r="H2" s="7"/>
      <c r="I2" s="7"/>
      <c r="J2" s="7"/>
      <c r="K2" s="7"/>
      <c r="L2" s="7"/>
      <c r="M2" s="72"/>
      <c r="N2" s="7"/>
      <c r="O2" s="7"/>
      <c r="P2" s="7"/>
      <c r="Q2" s="7"/>
      <c r="R2" s="7"/>
      <c r="S2" s="7"/>
      <c r="T2" s="7"/>
      <c r="U2" s="7"/>
      <c r="V2" s="7"/>
      <c r="W2" s="24"/>
      <c r="X2" s="24"/>
      <c r="Y2" s="7"/>
      <c r="Z2" s="7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</row>
    <row r="3" spans="1:239" ht="15" customHeight="1" thickBot="1" x14ac:dyDescent="0.25">
      <c r="A3" s="57" t="s">
        <v>36</v>
      </c>
      <c r="B3" s="82"/>
      <c r="C3" s="82"/>
      <c r="D3" s="61"/>
      <c r="E3" s="89"/>
      <c r="F3" s="90"/>
      <c r="G3" s="9"/>
      <c r="H3" s="18" t="s">
        <v>39</v>
      </c>
      <c r="I3" s="21" t="s">
        <v>2</v>
      </c>
      <c r="J3" s="10"/>
      <c r="K3" s="10"/>
      <c r="L3" s="10"/>
      <c r="M3" s="73"/>
      <c r="N3" s="10"/>
      <c r="O3" s="10"/>
      <c r="P3" s="7"/>
      <c r="Q3" s="7"/>
      <c r="R3" s="7"/>
      <c r="S3" s="7"/>
      <c r="T3" s="7"/>
      <c r="U3" s="7"/>
      <c r="V3" s="7"/>
      <c r="Y3" s="7"/>
      <c r="Z3" s="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</row>
    <row r="4" spans="1:239" ht="15" customHeight="1" thickBot="1" x14ac:dyDescent="0.25">
      <c r="A4" s="56" t="s">
        <v>37</v>
      </c>
      <c r="B4" s="83"/>
      <c r="C4" s="83"/>
      <c r="D4" s="22"/>
      <c r="E4" s="89"/>
      <c r="F4" s="90"/>
      <c r="G4" s="11"/>
      <c r="H4" s="18" t="s">
        <v>40</v>
      </c>
      <c r="I4" s="21" t="s">
        <v>2</v>
      </c>
      <c r="J4" s="13"/>
      <c r="K4" s="13"/>
      <c r="L4" s="13"/>
      <c r="M4" s="24"/>
      <c r="N4" s="13"/>
      <c r="O4" s="12"/>
      <c r="P4" s="13"/>
      <c r="Q4" s="13"/>
      <c r="R4" s="13"/>
      <c r="S4" s="13"/>
      <c r="T4" s="13"/>
      <c r="U4" s="13"/>
      <c r="V4" s="13"/>
      <c r="Y4" s="13"/>
      <c r="Z4" s="13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</row>
    <row r="5" spans="1:239" ht="15" customHeight="1" thickBot="1" x14ac:dyDescent="0.25">
      <c r="A5" s="56" t="s">
        <v>38</v>
      </c>
      <c r="B5" s="83"/>
      <c r="C5" s="83"/>
      <c r="D5" s="22"/>
      <c r="E5" s="89"/>
      <c r="F5" s="90"/>
      <c r="G5" s="6"/>
      <c r="H5" s="18" t="s">
        <v>41</v>
      </c>
      <c r="I5" s="21" t="s">
        <v>2</v>
      </c>
      <c r="J5" s="13"/>
      <c r="K5" s="13"/>
      <c r="L5" s="13"/>
      <c r="M5" s="24"/>
      <c r="N5" s="13"/>
      <c r="O5" s="14"/>
      <c r="P5" s="13"/>
      <c r="Q5" s="13"/>
      <c r="R5" s="13"/>
      <c r="S5" s="13"/>
      <c r="T5" s="13"/>
      <c r="U5" s="13"/>
      <c r="V5" s="13"/>
      <c r="Y5" s="13"/>
      <c r="Z5" s="13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</row>
    <row r="6" spans="1:239" ht="15" customHeight="1" thickBot="1" x14ac:dyDescent="0.25">
      <c r="A6" s="57" t="s">
        <v>0</v>
      </c>
      <c r="B6" s="82"/>
      <c r="C6" s="82"/>
      <c r="D6" s="62"/>
      <c r="E6" s="89"/>
      <c r="F6" s="90"/>
      <c r="G6" s="15"/>
      <c r="H6" s="16"/>
      <c r="I6" s="16"/>
      <c r="J6" s="16"/>
      <c r="K6" s="16"/>
      <c r="L6" s="16"/>
      <c r="M6" s="14"/>
      <c r="N6" s="16"/>
      <c r="O6" s="16"/>
      <c r="P6" s="7"/>
      <c r="Q6" s="7"/>
      <c r="R6" s="7"/>
      <c r="S6" s="7"/>
      <c r="T6" s="7"/>
      <c r="U6" s="7"/>
      <c r="V6" s="7"/>
      <c r="Y6" s="7"/>
      <c r="Z6" s="7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</row>
    <row r="7" spans="1:239" ht="15" customHeight="1" thickBot="1" x14ac:dyDescent="0.25">
      <c r="A7" s="57" t="s">
        <v>1</v>
      </c>
      <c r="B7" s="82"/>
      <c r="C7" s="82"/>
      <c r="D7" s="62"/>
      <c r="E7" s="89"/>
      <c r="F7" s="90"/>
      <c r="G7" s="19"/>
      <c r="H7" s="20"/>
      <c r="I7" s="20"/>
      <c r="J7" s="20"/>
      <c r="K7" s="20"/>
      <c r="L7" s="20"/>
      <c r="M7" s="74"/>
      <c r="N7" s="20"/>
      <c r="O7" s="20"/>
      <c r="P7" s="7"/>
      <c r="Q7" s="7"/>
      <c r="R7" s="7"/>
      <c r="S7" s="7"/>
      <c r="T7" s="7"/>
      <c r="U7" s="7"/>
      <c r="V7" s="7"/>
      <c r="Y7" s="7"/>
      <c r="Z7" s="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</row>
    <row r="8" spans="1:239" x14ac:dyDescent="0.2">
      <c r="A8" s="24"/>
      <c r="B8" s="24"/>
      <c r="C8" s="24"/>
      <c r="D8" s="24"/>
      <c r="E8" s="24"/>
      <c r="F8" s="6"/>
      <c r="G8" s="7"/>
      <c r="H8" s="7"/>
      <c r="I8" s="7"/>
      <c r="J8" s="7"/>
      <c r="K8" s="7"/>
      <c r="L8" s="7"/>
      <c r="M8" s="24"/>
      <c r="N8" s="7"/>
      <c r="O8" s="7"/>
      <c r="P8" s="7"/>
      <c r="Q8" s="7"/>
      <c r="R8" s="7"/>
      <c r="S8" s="7"/>
      <c r="T8" s="7"/>
      <c r="U8" s="7"/>
      <c r="V8" s="7"/>
      <c r="W8" s="24"/>
      <c r="X8" s="24"/>
      <c r="Y8" s="7"/>
      <c r="Z8" s="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</row>
    <row r="9" spans="1:239" ht="33.75" x14ac:dyDescent="0.2">
      <c r="A9" s="93" t="s">
        <v>3</v>
      </c>
      <c r="B9" s="94" t="s">
        <v>62</v>
      </c>
      <c r="C9" s="94" t="s">
        <v>63</v>
      </c>
      <c r="D9" s="93" t="s">
        <v>44</v>
      </c>
      <c r="E9" s="93" t="s">
        <v>45</v>
      </c>
      <c r="F9" s="93" t="s">
        <v>46</v>
      </c>
      <c r="G9" s="93" t="s">
        <v>47</v>
      </c>
      <c r="H9" s="93" t="s">
        <v>48</v>
      </c>
      <c r="I9" s="93" t="s">
        <v>61</v>
      </c>
      <c r="J9" s="93" t="s">
        <v>50</v>
      </c>
      <c r="K9" s="93" t="s">
        <v>49</v>
      </c>
      <c r="L9" s="93" t="s">
        <v>51</v>
      </c>
      <c r="M9" s="93" t="s">
        <v>14</v>
      </c>
      <c r="N9" s="93" t="s">
        <v>54</v>
      </c>
      <c r="O9" s="93" t="s">
        <v>55</v>
      </c>
      <c r="P9" s="93" t="s">
        <v>56</v>
      </c>
      <c r="Q9" s="95" t="s">
        <v>57</v>
      </c>
      <c r="R9" s="93" t="s">
        <v>58</v>
      </c>
      <c r="S9" s="93" t="s">
        <v>64</v>
      </c>
      <c r="T9" s="94" t="s">
        <v>65</v>
      </c>
      <c r="U9" s="94" t="s">
        <v>66</v>
      </c>
      <c r="V9" s="94" t="s">
        <v>67</v>
      </c>
      <c r="W9" s="93" t="s">
        <v>52</v>
      </c>
      <c r="X9" s="93" t="s">
        <v>18</v>
      </c>
      <c r="Y9" s="93" t="s">
        <v>59</v>
      </c>
      <c r="Z9" s="93" t="s">
        <v>60</v>
      </c>
      <c r="AA9" s="93" t="s">
        <v>93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</row>
    <row r="10" spans="1:239" s="71" customFormat="1" ht="27" customHeight="1" x14ac:dyDescent="0.2">
      <c r="A10" s="81">
        <v>1</v>
      </c>
      <c r="B10" s="84"/>
      <c r="C10" s="84"/>
      <c r="D10" s="96"/>
      <c r="E10" s="97" t="s">
        <v>68</v>
      </c>
      <c r="F10" s="97" t="s">
        <v>69</v>
      </c>
      <c r="G10" s="98"/>
      <c r="H10" s="81"/>
      <c r="I10" s="75"/>
      <c r="J10" s="75"/>
      <c r="K10" s="75"/>
      <c r="L10" s="75"/>
      <c r="M10" s="75"/>
      <c r="N10" s="99"/>
      <c r="O10" s="99"/>
      <c r="P10" s="99"/>
      <c r="Q10" s="99"/>
      <c r="R10" s="99"/>
      <c r="S10" s="97" t="s">
        <v>59</v>
      </c>
      <c r="T10" s="100"/>
      <c r="U10" s="101"/>
      <c r="V10" s="101"/>
      <c r="W10" s="75"/>
      <c r="X10" s="75"/>
      <c r="Y10" s="96"/>
      <c r="Z10" s="102"/>
      <c r="AA10" s="97">
        <v>1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  <c r="HC10" s="70"/>
      <c r="HD10" s="70"/>
      <c r="HE10" s="70"/>
      <c r="HF10" s="70"/>
      <c r="HG10" s="70"/>
      <c r="HH10" s="70"/>
      <c r="HI10" s="70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0"/>
      <c r="IA10" s="70"/>
      <c r="IB10" s="70"/>
      <c r="IC10" s="70"/>
      <c r="ID10" s="70"/>
      <c r="IE10" s="70"/>
    </row>
    <row r="11" spans="1:239" s="71" customFormat="1" ht="27" customHeight="1" x14ac:dyDescent="0.2">
      <c r="A11" s="81">
        <v>2</v>
      </c>
      <c r="B11" s="84"/>
      <c r="C11" s="84"/>
      <c r="D11" s="96"/>
      <c r="E11" s="97" t="s">
        <v>70</v>
      </c>
      <c r="F11" s="97" t="s">
        <v>71</v>
      </c>
      <c r="G11" s="98"/>
      <c r="H11" s="81"/>
      <c r="I11" s="75"/>
      <c r="J11" s="75"/>
      <c r="K11" s="75"/>
      <c r="L11" s="75"/>
      <c r="M11" s="75"/>
      <c r="N11" s="99"/>
      <c r="O11" s="99"/>
      <c r="P11" s="99"/>
      <c r="Q11" s="99"/>
      <c r="R11" s="99"/>
      <c r="S11" s="97" t="s">
        <v>86</v>
      </c>
      <c r="T11" s="100"/>
      <c r="U11" s="101"/>
      <c r="V11" s="101"/>
      <c r="W11" s="75"/>
      <c r="X11" s="75"/>
      <c r="Y11" s="96"/>
      <c r="Z11" s="102"/>
      <c r="AA11" s="97">
        <v>1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  <c r="HC11" s="70"/>
      <c r="HD11" s="70"/>
      <c r="HE11" s="70"/>
      <c r="HF11" s="70"/>
      <c r="HG11" s="70"/>
      <c r="HH11" s="70"/>
      <c r="HI11" s="70"/>
      <c r="HJ11" s="70"/>
      <c r="HK11" s="70"/>
      <c r="HL11" s="70"/>
      <c r="HM11" s="70"/>
      <c r="HN11" s="70"/>
      <c r="HO11" s="70"/>
      <c r="HP11" s="70"/>
      <c r="HQ11" s="70"/>
      <c r="HR11" s="70"/>
      <c r="HS11" s="70"/>
      <c r="HT11" s="70"/>
      <c r="HU11" s="70"/>
      <c r="HV11" s="70"/>
      <c r="HW11" s="70"/>
      <c r="HX11" s="70"/>
      <c r="HY11" s="70"/>
      <c r="HZ11" s="70"/>
      <c r="IA11" s="70"/>
      <c r="IB11" s="70"/>
      <c r="IC11" s="70"/>
      <c r="ID11" s="70"/>
      <c r="IE11" s="70"/>
    </row>
    <row r="12" spans="1:239" s="71" customFormat="1" ht="27" customHeight="1" x14ac:dyDescent="0.2">
      <c r="A12" s="81">
        <v>3</v>
      </c>
      <c r="B12" s="84"/>
      <c r="C12" s="84"/>
      <c r="D12" s="96"/>
      <c r="E12" s="97" t="s">
        <v>72</v>
      </c>
      <c r="F12" s="97" t="s">
        <v>73</v>
      </c>
      <c r="G12" s="98"/>
      <c r="H12" s="81"/>
      <c r="I12" s="75"/>
      <c r="J12" s="75"/>
      <c r="K12" s="75"/>
      <c r="L12" s="75"/>
      <c r="M12" s="75"/>
      <c r="N12" s="99"/>
      <c r="O12" s="99"/>
      <c r="P12" s="99"/>
      <c r="Q12" s="99"/>
      <c r="R12" s="99"/>
      <c r="S12" s="97" t="s">
        <v>87</v>
      </c>
      <c r="T12" s="100"/>
      <c r="U12" s="101"/>
      <c r="V12" s="101"/>
      <c r="W12" s="75"/>
      <c r="X12" s="75"/>
      <c r="Y12" s="96"/>
      <c r="Z12" s="102"/>
      <c r="AA12" s="97">
        <v>1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  <c r="GH12" s="70"/>
      <c r="GI12" s="70"/>
      <c r="GJ12" s="70"/>
      <c r="GK12" s="70"/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  <c r="HC12" s="70"/>
      <c r="HD12" s="70"/>
      <c r="HE12" s="70"/>
      <c r="HF12" s="70"/>
      <c r="HG12" s="70"/>
      <c r="HH12" s="70"/>
      <c r="HI12" s="70"/>
      <c r="HJ12" s="70"/>
      <c r="HK12" s="70"/>
      <c r="HL12" s="70"/>
      <c r="HM12" s="70"/>
      <c r="HN12" s="70"/>
      <c r="HO12" s="70"/>
      <c r="HP12" s="70"/>
      <c r="HQ12" s="70"/>
      <c r="HR12" s="70"/>
      <c r="HS12" s="70"/>
      <c r="HT12" s="70"/>
      <c r="HU12" s="70"/>
      <c r="HV12" s="70"/>
      <c r="HW12" s="70"/>
      <c r="HX12" s="70"/>
      <c r="HY12" s="70"/>
      <c r="HZ12" s="70"/>
      <c r="IA12" s="70"/>
      <c r="IB12" s="70"/>
      <c r="IC12" s="70"/>
      <c r="ID12" s="70"/>
      <c r="IE12" s="70"/>
    </row>
    <row r="13" spans="1:239" s="71" customFormat="1" ht="27" customHeight="1" x14ac:dyDescent="0.2">
      <c r="A13" s="81">
        <v>4</v>
      </c>
      <c r="B13" s="84"/>
      <c r="C13" s="84"/>
      <c r="D13" s="96"/>
      <c r="E13" s="97" t="s">
        <v>74</v>
      </c>
      <c r="F13" s="97" t="s">
        <v>75</v>
      </c>
      <c r="G13" s="98"/>
      <c r="H13" s="81"/>
      <c r="I13" s="75"/>
      <c r="J13" s="75"/>
      <c r="K13" s="75"/>
      <c r="L13" s="75"/>
      <c r="M13" s="75"/>
      <c r="N13" s="99"/>
      <c r="O13" s="99"/>
      <c r="P13" s="99"/>
      <c r="Q13" s="99"/>
      <c r="R13" s="99"/>
      <c r="S13" s="97" t="s">
        <v>88</v>
      </c>
      <c r="T13" s="100"/>
      <c r="U13" s="101"/>
      <c r="V13" s="101"/>
      <c r="W13" s="75"/>
      <c r="X13" s="75"/>
      <c r="Y13" s="96"/>
      <c r="Z13" s="102"/>
      <c r="AA13" s="97">
        <v>2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70"/>
      <c r="GX13" s="70"/>
      <c r="GY13" s="70"/>
      <c r="GZ13" s="70"/>
      <c r="HA13" s="70"/>
      <c r="HB13" s="70"/>
      <c r="HC13" s="70"/>
      <c r="HD13" s="70"/>
      <c r="HE13" s="70"/>
      <c r="HF13" s="70"/>
      <c r="HG13" s="70"/>
      <c r="HH13" s="70"/>
      <c r="HI13" s="70"/>
      <c r="HJ13" s="70"/>
      <c r="HK13" s="70"/>
      <c r="HL13" s="70"/>
      <c r="HM13" s="70"/>
      <c r="HN13" s="70"/>
      <c r="HO13" s="70"/>
      <c r="HP13" s="70"/>
      <c r="HQ13" s="70"/>
      <c r="HR13" s="70"/>
      <c r="HS13" s="70"/>
      <c r="HT13" s="70"/>
      <c r="HU13" s="70"/>
      <c r="HV13" s="70"/>
      <c r="HW13" s="70"/>
      <c r="HX13" s="70"/>
      <c r="HY13" s="70"/>
      <c r="HZ13" s="70"/>
      <c r="IA13" s="70"/>
      <c r="IB13" s="70"/>
      <c r="IC13" s="70"/>
      <c r="ID13" s="70"/>
      <c r="IE13" s="70"/>
    </row>
    <row r="14" spans="1:239" s="71" customFormat="1" ht="27" customHeight="1" x14ac:dyDescent="0.2">
      <c r="A14" s="81">
        <v>5</v>
      </c>
      <c r="B14" s="84"/>
      <c r="C14" s="84"/>
      <c r="D14" s="96"/>
      <c r="E14" s="97" t="s">
        <v>76</v>
      </c>
      <c r="F14" s="97" t="s">
        <v>77</v>
      </c>
      <c r="G14" s="98"/>
      <c r="H14" s="81"/>
      <c r="I14" s="75"/>
      <c r="J14" s="75"/>
      <c r="K14" s="75"/>
      <c r="L14" s="75"/>
      <c r="M14" s="75"/>
      <c r="N14" s="99"/>
      <c r="O14" s="99"/>
      <c r="P14" s="99"/>
      <c r="Q14" s="99"/>
      <c r="R14" s="99"/>
      <c r="S14" s="97" t="s">
        <v>89</v>
      </c>
      <c r="T14" s="100"/>
      <c r="U14" s="101"/>
      <c r="V14" s="101"/>
      <c r="W14" s="75"/>
      <c r="X14" s="75"/>
      <c r="Y14" s="96"/>
      <c r="Z14" s="102"/>
      <c r="AA14" s="97">
        <v>1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/>
      <c r="FW14" s="70"/>
      <c r="FX14" s="70"/>
      <c r="FY14" s="70"/>
      <c r="FZ14" s="70"/>
      <c r="GA14" s="70"/>
      <c r="GB14" s="70"/>
      <c r="GC14" s="70"/>
      <c r="GD14" s="70"/>
      <c r="GE14" s="70"/>
      <c r="GF14" s="70"/>
      <c r="GG14" s="70"/>
      <c r="GH14" s="70"/>
      <c r="GI14" s="70"/>
      <c r="GJ14" s="70"/>
      <c r="GK14" s="70"/>
      <c r="GL14" s="70"/>
      <c r="GM14" s="70"/>
      <c r="GN14" s="70"/>
      <c r="GO14" s="70"/>
      <c r="GP14" s="70"/>
      <c r="GQ14" s="70"/>
      <c r="GR14" s="70"/>
      <c r="GS14" s="70"/>
      <c r="GT14" s="70"/>
      <c r="GU14" s="70"/>
      <c r="GV14" s="70"/>
      <c r="GW14" s="70"/>
      <c r="GX14" s="70"/>
      <c r="GY14" s="70"/>
      <c r="GZ14" s="70"/>
      <c r="HA14" s="70"/>
      <c r="HB14" s="70"/>
      <c r="HC14" s="70"/>
      <c r="HD14" s="70"/>
      <c r="HE14" s="70"/>
      <c r="HF14" s="70"/>
      <c r="HG14" s="70"/>
      <c r="HH14" s="70"/>
      <c r="HI14" s="70"/>
      <c r="HJ14" s="70"/>
      <c r="HK14" s="70"/>
      <c r="HL14" s="70"/>
      <c r="HM14" s="70"/>
      <c r="HN14" s="70"/>
      <c r="HO14" s="70"/>
      <c r="HP14" s="70"/>
      <c r="HQ14" s="70"/>
      <c r="HR14" s="70"/>
      <c r="HS14" s="70"/>
      <c r="HT14" s="70"/>
      <c r="HU14" s="70"/>
      <c r="HV14" s="70"/>
      <c r="HW14" s="70"/>
      <c r="HX14" s="70"/>
      <c r="HY14" s="70"/>
      <c r="HZ14" s="70"/>
      <c r="IA14" s="70"/>
      <c r="IB14" s="70"/>
      <c r="IC14" s="70"/>
      <c r="ID14" s="70"/>
      <c r="IE14" s="70"/>
    </row>
    <row r="15" spans="1:239" s="71" customFormat="1" ht="27" customHeight="1" x14ac:dyDescent="0.2">
      <c r="A15" s="81">
        <v>6</v>
      </c>
      <c r="B15" s="84"/>
      <c r="C15" s="84"/>
      <c r="D15" s="96"/>
      <c r="E15" s="97" t="s">
        <v>78</v>
      </c>
      <c r="F15" s="97" t="s">
        <v>79</v>
      </c>
      <c r="G15" s="98"/>
      <c r="H15" s="81"/>
      <c r="I15" s="75"/>
      <c r="J15" s="75"/>
      <c r="K15" s="75"/>
      <c r="L15" s="75"/>
      <c r="M15" s="75"/>
      <c r="N15" s="99"/>
      <c r="O15" s="99"/>
      <c r="P15" s="99"/>
      <c r="Q15" s="99"/>
      <c r="R15" s="99"/>
      <c r="S15" s="97" t="s">
        <v>90</v>
      </c>
      <c r="T15" s="100"/>
      <c r="U15" s="101"/>
      <c r="V15" s="101"/>
      <c r="W15" s="75"/>
      <c r="X15" s="75"/>
      <c r="Y15" s="96"/>
      <c r="Z15" s="102"/>
      <c r="AA15" s="97">
        <v>1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70"/>
      <c r="GW15" s="70"/>
      <c r="GX15" s="70"/>
      <c r="GY15" s="70"/>
      <c r="GZ15" s="70"/>
      <c r="HA15" s="70"/>
      <c r="HB15" s="70"/>
      <c r="HC15" s="70"/>
      <c r="HD15" s="70"/>
      <c r="HE15" s="70"/>
      <c r="HF15" s="70"/>
      <c r="HG15" s="70"/>
      <c r="HH15" s="70"/>
      <c r="HI15" s="70"/>
      <c r="HJ15" s="70"/>
      <c r="HK15" s="70"/>
      <c r="HL15" s="70"/>
      <c r="HM15" s="70"/>
      <c r="HN15" s="70"/>
      <c r="HO15" s="70"/>
      <c r="HP15" s="70"/>
      <c r="HQ15" s="70"/>
      <c r="HR15" s="70"/>
      <c r="HS15" s="70"/>
      <c r="HT15" s="70"/>
      <c r="HU15" s="70"/>
      <c r="HV15" s="70"/>
      <c r="HW15" s="70"/>
      <c r="HX15" s="70"/>
      <c r="HY15" s="70"/>
      <c r="HZ15" s="70"/>
      <c r="IA15" s="70"/>
      <c r="IB15" s="70"/>
      <c r="IC15" s="70"/>
      <c r="ID15" s="70"/>
      <c r="IE15" s="70"/>
    </row>
    <row r="16" spans="1:239" s="71" customFormat="1" ht="27" customHeight="1" x14ac:dyDescent="0.2">
      <c r="A16" s="81">
        <v>7</v>
      </c>
      <c r="B16" s="84"/>
      <c r="C16" s="84"/>
      <c r="D16" s="96"/>
      <c r="E16" s="97" t="s">
        <v>80</v>
      </c>
      <c r="F16" s="97" t="s">
        <v>81</v>
      </c>
      <c r="G16" s="98"/>
      <c r="H16" s="81"/>
      <c r="I16" s="75"/>
      <c r="J16" s="75"/>
      <c r="K16" s="75"/>
      <c r="L16" s="75"/>
      <c r="M16" s="75"/>
      <c r="N16" s="99"/>
      <c r="O16" s="99"/>
      <c r="P16" s="99"/>
      <c r="Q16" s="99"/>
      <c r="R16" s="99"/>
      <c r="S16" s="97" t="s">
        <v>91</v>
      </c>
      <c r="T16" s="100"/>
      <c r="U16" s="101"/>
      <c r="V16" s="101"/>
      <c r="W16" s="75"/>
      <c r="X16" s="75"/>
      <c r="Y16" s="96"/>
      <c r="Z16" s="102"/>
      <c r="AA16" s="97">
        <v>1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</row>
    <row r="17" spans="1:239" s="71" customFormat="1" ht="27" customHeight="1" x14ac:dyDescent="0.2">
      <c r="A17" s="81">
        <v>8</v>
      </c>
      <c r="B17" s="84"/>
      <c r="C17" s="84"/>
      <c r="D17" s="96"/>
      <c r="E17" s="97" t="s">
        <v>82</v>
      </c>
      <c r="F17" s="97" t="s">
        <v>83</v>
      </c>
      <c r="G17" s="98"/>
      <c r="H17" s="81"/>
      <c r="I17" s="75"/>
      <c r="J17" s="75"/>
      <c r="K17" s="75"/>
      <c r="L17" s="75"/>
      <c r="M17" s="75"/>
      <c r="N17" s="99"/>
      <c r="O17" s="99"/>
      <c r="P17" s="99"/>
      <c r="Q17" s="99"/>
      <c r="R17" s="99"/>
      <c r="S17" s="97" t="s">
        <v>92</v>
      </c>
      <c r="T17" s="100"/>
      <c r="U17" s="101"/>
      <c r="V17" s="101"/>
      <c r="W17" s="75"/>
      <c r="X17" s="75"/>
      <c r="Y17" s="96"/>
      <c r="Z17" s="102"/>
      <c r="AA17" s="97">
        <v>1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</row>
    <row r="18" spans="1:239" s="71" customFormat="1" ht="27" customHeight="1" x14ac:dyDescent="0.2">
      <c r="A18" s="81">
        <v>9</v>
      </c>
      <c r="B18" s="84"/>
      <c r="C18" s="84"/>
      <c r="D18" s="96"/>
      <c r="E18" s="97" t="s">
        <v>84</v>
      </c>
      <c r="F18" s="97" t="s">
        <v>85</v>
      </c>
      <c r="G18" s="98"/>
      <c r="H18" s="81"/>
      <c r="I18" s="75"/>
      <c r="J18" s="75"/>
      <c r="K18" s="75"/>
      <c r="L18" s="75"/>
      <c r="M18" s="75"/>
      <c r="N18" s="99"/>
      <c r="O18" s="99"/>
      <c r="P18" s="99"/>
      <c r="Q18" s="99"/>
      <c r="R18" s="99"/>
      <c r="S18" s="97" t="s">
        <v>59</v>
      </c>
      <c r="T18" s="100"/>
      <c r="U18" s="101"/>
      <c r="V18" s="101"/>
      <c r="W18" s="75"/>
      <c r="X18" s="75"/>
      <c r="Y18" s="96"/>
      <c r="Z18" s="102"/>
      <c r="AA18" s="97">
        <v>1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</row>
    <row r="19" spans="1:239" ht="17.25" customHeight="1" thickBot="1" x14ac:dyDescent="0.25">
      <c r="A19" s="85" t="s">
        <v>32</v>
      </c>
      <c r="B19" s="86"/>
      <c r="C19" s="86"/>
      <c r="D19" s="86"/>
      <c r="E19" s="63"/>
      <c r="F19" s="64">
        <f ca="1">SUM(val_rng)</f>
        <v>0</v>
      </c>
      <c r="G19" s="65" t="s">
        <v>4</v>
      </c>
      <c r="H19" s="66"/>
      <c r="I19" s="67"/>
      <c r="J19" s="24"/>
      <c r="K19" s="24"/>
      <c r="L19" s="24"/>
      <c r="N19" s="68"/>
      <c r="O19" s="69"/>
      <c r="P19" s="26"/>
      <c r="Q19" s="28"/>
      <c r="R19" s="17"/>
      <c r="S19" s="17"/>
      <c r="T19" s="26"/>
      <c r="U19" s="5"/>
      <c r="V19" s="5"/>
      <c r="Y19" s="5"/>
      <c r="Z19" s="5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</row>
    <row r="20" spans="1:239" ht="17.25" customHeight="1" thickBot="1" x14ac:dyDescent="0.25">
      <c r="A20" s="87" t="s">
        <v>35</v>
      </c>
      <c r="B20" s="88"/>
      <c r="C20" s="88"/>
      <c r="D20" s="88"/>
      <c r="E20" s="59">
        <v>0</v>
      </c>
      <c r="F20" s="49">
        <f ca="1">F19*E20</f>
        <v>0</v>
      </c>
      <c r="G20" s="8" t="s">
        <v>5</v>
      </c>
      <c r="H20" s="22"/>
      <c r="I20" s="29"/>
      <c r="J20" s="30"/>
      <c r="K20" s="30"/>
      <c r="L20" s="30"/>
      <c r="N20" s="16"/>
      <c r="O20" s="27"/>
      <c r="P20" s="26"/>
      <c r="Q20" s="28"/>
      <c r="R20" s="17"/>
      <c r="S20" s="17"/>
      <c r="T20" s="26"/>
      <c r="U20" s="26"/>
      <c r="V20" s="26"/>
      <c r="Y20" s="5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</row>
    <row r="21" spans="1:239" ht="17.25" customHeight="1" thickBot="1" x14ac:dyDescent="0.25">
      <c r="A21" s="87" t="s">
        <v>53</v>
      </c>
      <c r="B21" s="88"/>
      <c r="C21" s="88"/>
      <c r="D21" s="88"/>
      <c r="E21" s="60"/>
      <c r="F21" s="49">
        <f ca="1">F19-F20</f>
        <v>0</v>
      </c>
      <c r="G21" s="8" t="s">
        <v>6</v>
      </c>
      <c r="H21" s="22"/>
      <c r="I21" s="29"/>
      <c r="J21" s="30"/>
      <c r="K21" s="30"/>
      <c r="L21" s="30"/>
      <c r="N21" s="16"/>
      <c r="O21" s="27"/>
      <c r="P21" s="17"/>
      <c r="Q21" s="28"/>
      <c r="R21" s="17"/>
      <c r="S21" s="17"/>
      <c r="T21" s="17"/>
      <c r="U21" s="17"/>
      <c r="V21" s="17"/>
      <c r="Y21" s="5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</row>
    <row r="22" spans="1:239" ht="17.25" customHeight="1" thickBot="1" x14ac:dyDescent="0.25">
      <c r="A22" s="87" t="s">
        <v>31</v>
      </c>
      <c r="B22" s="88"/>
      <c r="C22" s="88"/>
      <c r="D22" s="88"/>
      <c r="E22" s="59">
        <v>0.18</v>
      </c>
      <c r="F22" s="49">
        <f ca="1">F21*E22</f>
        <v>0</v>
      </c>
      <c r="G22" s="31"/>
      <c r="H22" s="32"/>
      <c r="I22" s="30"/>
      <c r="J22" s="30"/>
      <c r="K22" s="30"/>
      <c r="L22" s="30"/>
      <c r="N22" s="17"/>
      <c r="O22" s="17"/>
      <c r="P22" s="17"/>
      <c r="Q22" s="17"/>
      <c r="R22" s="17"/>
      <c r="S22" s="17"/>
      <c r="T22" s="17"/>
      <c r="U22" s="17"/>
      <c r="V22" s="17"/>
      <c r="Y22" s="5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</row>
    <row r="23" spans="1:239" ht="17.25" customHeight="1" thickBot="1" x14ac:dyDescent="0.25">
      <c r="A23" s="87" t="s">
        <v>33</v>
      </c>
      <c r="B23" s="88"/>
      <c r="C23" s="88"/>
      <c r="D23" s="88"/>
      <c r="E23" s="59">
        <v>0</v>
      </c>
      <c r="F23" s="49">
        <f ca="1">F21*E23</f>
        <v>0</v>
      </c>
      <c r="G23" s="33"/>
      <c r="H23" s="23"/>
      <c r="I23" s="30"/>
      <c r="J23" s="30"/>
      <c r="K23" s="30"/>
      <c r="L23" s="30"/>
      <c r="N23" s="17"/>
      <c r="O23" s="17"/>
      <c r="P23" s="17"/>
      <c r="Q23" s="17"/>
      <c r="R23" s="17"/>
      <c r="S23" s="17"/>
      <c r="T23" s="17"/>
      <c r="U23" s="17"/>
      <c r="V23" s="17"/>
      <c r="Y23" s="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</row>
    <row r="24" spans="1:239" ht="17.25" customHeight="1" thickBot="1" x14ac:dyDescent="0.25">
      <c r="A24" s="87" t="s">
        <v>34</v>
      </c>
      <c r="B24" s="88"/>
      <c r="C24" s="88"/>
      <c r="D24" s="88"/>
      <c r="E24" s="59"/>
      <c r="F24" s="49"/>
      <c r="G24" s="33"/>
      <c r="H24" s="23"/>
      <c r="I24" s="30"/>
      <c r="J24" s="30"/>
      <c r="K24" s="30"/>
      <c r="L24" s="30"/>
      <c r="N24" s="17"/>
      <c r="O24" s="17"/>
      <c r="P24" s="17"/>
      <c r="Q24" s="17"/>
      <c r="R24" s="17"/>
      <c r="S24" s="17"/>
      <c r="T24" s="17"/>
      <c r="U24" s="17"/>
      <c r="V24" s="17"/>
      <c r="Y24" s="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</row>
    <row r="25" spans="1:239" ht="17.25" customHeight="1" thickBot="1" x14ac:dyDescent="0.25">
      <c r="A25" s="87" t="s">
        <v>42</v>
      </c>
      <c r="B25" s="88"/>
      <c r="C25" s="88"/>
      <c r="D25" s="88"/>
      <c r="E25" s="58"/>
      <c r="F25" s="49">
        <f ca="1">SUM(F21:F24)</f>
        <v>0</v>
      </c>
      <c r="G25" s="34"/>
      <c r="H25" s="23"/>
      <c r="I25" s="30"/>
      <c r="J25" s="30"/>
      <c r="K25" s="30"/>
      <c r="L25" s="30"/>
      <c r="N25" s="17"/>
      <c r="O25" s="17"/>
      <c r="P25" s="17"/>
      <c r="Q25" s="17"/>
      <c r="R25" s="17"/>
      <c r="S25" s="17"/>
      <c r="T25" s="17"/>
      <c r="U25" s="17"/>
      <c r="V25" s="17"/>
      <c r="Y25" s="5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</row>
    <row r="26" spans="1:239" ht="27" customHeight="1" x14ac:dyDescent="0.2">
      <c r="A26" s="5"/>
      <c r="B26" s="5"/>
      <c r="C26" s="5"/>
      <c r="D26" s="13"/>
      <c r="E26" s="13"/>
      <c r="F26" s="48"/>
      <c r="G26" s="13"/>
      <c r="H26" s="35"/>
      <c r="I26" s="30"/>
      <c r="J26" s="30"/>
      <c r="K26" s="30"/>
      <c r="L26" s="35"/>
      <c r="N26" s="5"/>
      <c r="O26" s="5"/>
      <c r="P26" s="17"/>
      <c r="Q26" s="17"/>
      <c r="R26" s="17"/>
      <c r="S26" s="17"/>
      <c r="T26" s="17"/>
      <c r="U26" s="17"/>
      <c r="V26" s="17"/>
      <c r="Y26" s="5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</row>
    <row r="27" spans="1:239" s="51" customFormat="1" ht="20.25" customHeight="1" x14ac:dyDescent="0.2">
      <c r="A27" s="50"/>
      <c r="B27" s="50"/>
      <c r="C27" s="50"/>
      <c r="D27" s="54" t="s">
        <v>7</v>
      </c>
      <c r="E27" s="52"/>
      <c r="F27" s="39"/>
      <c r="G27" s="39"/>
      <c r="H27" s="39"/>
      <c r="I27" s="30"/>
      <c r="J27" s="30"/>
      <c r="K27" s="39"/>
      <c r="L27" s="36"/>
      <c r="M27" s="77"/>
      <c r="N27" s="17"/>
      <c r="O27" s="37"/>
      <c r="P27" s="17"/>
      <c r="Q27" s="17"/>
      <c r="R27" s="17"/>
      <c r="S27" s="17"/>
      <c r="T27" s="17"/>
      <c r="U27" s="17"/>
      <c r="V27" s="17"/>
      <c r="W27" s="77"/>
      <c r="X27" s="77"/>
      <c r="Y27" s="17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</row>
    <row r="28" spans="1:239" ht="20.25" customHeight="1" x14ac:dyDescent="0.2">
      <c r="D28" s="55" t="s">
        <v>8</v>
      </c>
      <c r="E28" s="53"/>
      <c r="F28" s="39"/>
      <c r="G28" s="39"/>
      <c r="H28" s="39"/>
      <c r="I28" s="30"/>
      <c r="J28" s="30"/>
      <c r="K28" s="39"/>
      <c r="L28" s="38"/>
      <c r="M28" s="38"/>
      <c r="N28" s="39"/>
      <c r="O28" s="39"/>
      <c r="P28" s="39"/>
      <c r="Q28" s="39"/>
      <c r="R28" s="39"/>
      <c r="S28" s="39"/>
      <c r="T28" s="39"/>
      <c r="U28" s="39"/>
      <c r="V28" s="39"/>
      <c r="W28" s="38"/>
      <c r="X28" s="38"/>
      <c r="Y28" s="17"/>
    </row>
    <row r="29" spans="1:239" ht="20.25" customHeight="1" x14ac:dyDescent="0.2">
      <c r="D29" s="55" t="s">
        <v>9</v>
      </c>
      <c r="E29" s="53"/>
      <c r="F29" s="39"/>
      <c r="G29" s="39"/>
      <c r="H29" s="39"/>
      <c r="I29" s="38"/>
      <c r="J29" s="30"/>
      <c r="K29" s="38"/>
      <c r="L29" s="38"/>
      <c r="M29" s="38"/>
      <c r="N29" s="39"/>
      <c r="O29" s="39"/>
      <c r="P29" s="39"/>
      <c r="Q29" s="39"/>
      <c r="R29" s="39"/>
      <c r="S29" s="39"/>
      <c r="T29" s="39"/>
      <c r="U29" s="39"/>
      <c r="V29" s="39"/>
      <c r="W29" s="38"/>
      <c r="X29" s="38"/>
      <c r="Y29" s="17"/>
    </row>
    <row r="30" spans="1:239" x14ac:dyDescent="0.2">
      <c r="D30" s="38"/>
      <c r="E30" s="38"/>
      <c r="F30" s="39"/>
      <c r="G30" s="39"/>
      <c r="H30" s="39"/>
      <c r="I30" s="38"/>
      <c r="J30" s="30"/>
      <c r="K30" s="38"/>
      <c r="L30" s="38"/>
      <c r="M30" s="38"/>
      <c r="N30" s="39"/>
      <c r="O30" s="39"/>
      <c r="P30" s="39"/>
      <c r="Q30" s="39"/>
      <c r="R30" s="39"/>
      <c r="S30" s="39"/>
      <c r="T30" s="39"/>
      <c r="U30" s="39"/>
      <c r="V30" s="39"/>
      <c r="W30" s="38"/>
      <c r="X30" s="38"/>
      <c r="Y30" s="17"/>
    </row>
    <row r="31" spans="1:239" x14ac:dyDescent="0.2">
      <c r="D31" s="38"/>
      <c r="E31" s="38"/>
      <c r="F31" s="39"/>
      <c r="G31" s="39"/>
      <c r="H31" s="39"/>
      <c r="I31" s="38"/>
      <c r="J31" s="30"/>
      <c r="K31" s="38"/>
      <c r="L31" s="38"/>
      <c r="M31" s="38"/>
      <c r="N31" s="39"/>
      <c r="O31" s="39"/>
      <c r="P31" s="39"/>
      <c r="Q31" s="39"/>
      <c r="R31" s="39"/>
      <c r="S31" s="39"/>
      <c r="T31" s="39"/>
      <c r="U31" s="39"/>
      <c r="V31" s="39"/>
      <c r="W31" s="38"/>
      <c r="X31" s="38"/>
      <c r="Y31" s="17"/>
    </row>
    <row r="32" spans="1:239" x14ac:dyDescent="0.2">
      <c r="D32" s="38"/>
      <c r="E32" s="38"/>
      <c r="F32" s="39"/>
      <c r="G32" s="39"/>
      <c r="H32" s="39"/>
      <c r="I32" s="38"/>
      <c r="J32" s="38"/>
      <c r="K32" s="38"/>
      <c r="L32" s="38"/>
      <c r="M32" s="38"/>
      <c r="N32" s="39"/>
      <c r="O32" s="39"/>
      <c r="P32" s="39"/>
      <c r="Q32" s="39"/>
      <c r="R32" s="39"/>
      <c r="S32" s="39"/>
      <c r="T32" s="39"/>
      <c r="U32" s="39"/>
      <c r="V32" s="39"/>
      <c r="W32" s="38"/>
      <c r="X32" s="38"/>
      <c r="Y32" s="17"/>
    </row>
    <row r="33" spans="4:24" ht="15.75" x14ac:dyDescent="0.2">
      <c r="D33" s="2"/>
      <c r="E33" s="2"/>
      <c r="F33" s="2"/>
      <c r="G33" s="2"/>
      <c r="H33" s="2"/>
      <c r="I33" s="2"/>
      <c r="J33" s="2"/>
      <c r="K33" s="2"/>
      <c r="L33" s="2"/>
      <c r="M33" s="78"/>
      <c r="N33" s="2"/>
      <c r="O33" s="2"/>
      <c r="P33" s="2"/>
      <c r="Q33" s="2"/>
      <c r="R33" s="2"/>
      <c r="S33" s="2"/>
      <c r="T33" s="2"/>
      <c r="W33" s="78"/>
      <c r="X33" s="78"/>
    </row>
    <row r="34" spans="4:24" ht="15.75" x14ac:dyDescent="0.2">
      <c r="D34" s="2"/>
      <c r="E34" s="2"/>
      <c r="F34" s="2"/>
      <c r="G34" s="3"/>
      <c r="H34" s="3"/>
      <c r="I34" s="2"/>
      <c r="J34" s="2"/>
      <c r="K34" s="2"/>
      <c r="L34" s="2"/>
      <c r="M34" s="78"/>
      <c r="N34" s="2"/>
      <c r="O34" s="2"/>
      <c r="P34" s="2"/>
      <c r="Q34" s="2"/>
      <c r="R34" s="2"/>
      <c r="S34" s="2"/>
      <c r="T34" s="2"/>
      <c r="W34" s="78"/>
      <c r="X34" s="78"/>
    </row>
    <row r="35" spans="4:24" ht="15.75" x14ac:dyDescent="0.2">
      <c r="D35" s="2"/>
      <c r="E35" s="2"/>
      <c r="F35" s="2"/>
      <c r="G35" s="3"/>
      <c r="H35" s="3"/>
      <c r="I35" s="2"/>
      <c r="J35" s="2"/>
      <c r="K35" s="2"/>
      <c r="L35" s="2"/>
      <c r="M35" s="78"/>
      <c r="N35" s="2"/>
      <c r="O35" s="2"/>
      <c r="P35" s="2"/>
      <c r="Q35" s="2"/>
      <c r="R35" s="2"/>
      <c r="S35" s="2"/>
      <c r="T35" s="2"/>
      <c r="W35" s="78"/>
      <c r="X35" s="78"/>
    </row>
    <row r="36" spans="4:24" ht="15.75" x14ac:dyDescent="0.2">
      <c r="D36" s="2"/>
      <c r="E36" s="2"/>
      <c r="F36" s="2"/>
      <c r="G36" s="3"/>
      <c r="H36" s="3"/>
      <c r="I36" s="2"/>
      <c r="J36" s="2"/>
      <c r="K36" s="2"/>
      <c r="L36" s="2"/>
      <c r="M36" s="78"/>
      <c r="N36" s="2"/>
      <c r="O36" s="2"/>
      <c r="P36" s="2"/>
      <c r="Q36" s="2"/>
      <c r="R36" s="2"/>
      <c r="S36" s="2"/>
      <c r="T36" s="2"/>
      <c r="W36" s="78"/>
      <c r="X36" s="78"/>
    </row>
    <row r="37" spans="4:24" ht="15.75" x14ac:dyDescent="0.2">
      <c r="D37" s="2"/>
      <c r="E37" s="2"/>
      <c r="F37" s="2"/>
      <c r="G37" s="2"/>
      <c r="H37" s="2"/>
      <c r="I37" s="2"/>
      <c r="J37" s="2"/>
      <c r="K37" s="2"/>
      <c r="L37" s="2"/>
      <c r="M37" s="78"/>
      <c r="N37" s="2"/>
      <c r="O37" s="2"/>
      <c r="P37" s="2"/>
      <c r="Q37" s="2"/>
      <c r="R37" s="2"/>
      <c r="S37" s="2"/>
      <c r="T37" s="2"/>
      <c r="W37" s="78"/>
      <c r="X37" s="78"/>
    </row>
    <row r="38" spans="4:24" ht="15.75" x14ac:dyDescent="0.2">
      <c r="D38" s="2"/>
      <c r="E38" s="2"/>
      <c r="F38" s="2"/>
      <c r="G38" s="2"/>
      <c r="H38" s="2"/>
      <c r="I38" s="2"/>
      <c r="J38" s="2"/>
      <c r="K38" s="2"/>
      <c r="L38" s="2"/>
      <c r="M38" s="78"/>
      <c r="N38" s="2"/>
      <c r="O38" s="2"/>
      <c r="P38" s="2"/>
      <c r="Q38" s="2"/>
      <c r="R38" s="2"/>
      <c r="S38" s="2"/>
      <c r="T38" s="2"/>
      <c r="W38" s="78"/>
      <c r="X38" s="78"/>
    </row>
    <row r="39" spans="4:24" ht="15.75" x14ac:dyDescent="0.2">
      <c r="D39" s="2"/>
      <c r="E39" s="2"/>
      <c r="F39" s="2"/>
      <c r="G39" s="2"/>
      <c r="H39" s="2"/>
      <c r="I39" s="2"/>
      <c r="J39" s="2"/>
      <c r="K39" s="2"/>
      <c r="L39" s="2"/>
      <c r="M39" s="78"/>
      <c r="N39" s="2"/>
      <c r="O39" s="2"/>
      <c r="P39" s="2"/>
      <c r="Q39" s="2"/>
      <c r="R39" s="2"/>
      <c r="S39" s="2"/>
      <c r="T39" s="2"/>
      <c r="W39" s="78"/>
      <c r="X39" s="78"/>
    </row>
    <row r="40" spans="4:24" ht="15.75" x14ac:dyDescent="0.2">
      <c r="D40" s="2"/>
      <c r="E40" s="2" t="str">
        <f>UPPER(A26)</f>
        <v/>
      </c>
      <c r="F40" s="2"/>
      <c r="G40" s="2"/>
      <c r="H40" s="2"/>
      <c r="I40" s="2"/>
      <c r="J40" s="2"/>
      <c r="K40" s="2"/>
      <c r="L40" s="2"/>
      <c r="M40" s="78"/>
      <c r="N40" s="2"/>
      <c r="O40" s="2"/>
      <c r="P40" s="2"/>
      <c r="Q40" s="2"/>
      <c r="R40" s="2"/>
      <c r="S40" s="2"/>
      <c r="T40" s="2"/>
      <c r="W40" s="78"/>
      <c r="X40" s="78"/>
    </row>
    <row r="41" spans="4:24" ht="15.75" x14ac:dyDescent="0.2">
      <c r="D41" s="2"/>
      <c r="E41" s="2"/>
      <c r="F41" s="2"/>
      <c r="G41" s="3"/>
      <c r="H41" s="3"/>
      <c r="I41" s="2"/>
      <c r="J41" s="2"/>
      <c r="K41" s="2"/>
      <c r="L41" s="2"/>
      <c r="M41" s="78"/>
      <c r="N41" s="2"/>
      <c r="O41" s="2"/>
      <c r="P41" s="2"/>
      <c r="Q41" s="2"/>
      <c r="R41" s="2"/>
      <c r="S41" s="2"/>
      <c r="T41" s="2"/>
      <c r="W41" s="78"/>
      <c r="X41" s="78"/>
    </row>
    <row r="42" spans="4:24" ht="15.75" x14ac:dyDescent="0.2">
      <c r="D42" s="2"/>
      <c r="E42" s="2"/>
      <c r="F42" s="2"/>
      <c r="G42" s="2"/>
      <c r="H42" s="2"/>
      <c r="I42" s="2"/>
      <c r="J42" s="2"/>
      <c r="K42" s="2"/>
      <c r="L42" s="2"/>
      <c r="M42" s="78"/>
      <c r="N42" s="2"/>
      <c r="O42" s="2"/>
      <c r="P42" s="2"/>
      <c r="Q42" s="2"/>
      <c r="R42" s="2"/>
      <c r="S42" s="2"/>
      <c r="T42" s="2"/>
      <c r="W42" s="78"/>
      <c r="X42" s="78"/>
    </row>
    <row r="43" spans="4:24" ht="15.75" x14ac:dyDescent="0.2">
      <c r="D43" s="2"/>
      <c r="E43" s="2"/>
      <c r="F43" s="4"/>
      <c r="G43" s="4"/>
      <c r="H43" s="4"/>
      <c r="I43" s="4"/>
      <c r="J43" s="4"/>
      <c r="K43" s="4"/>
      <c r="L43" s="4"/>
      <c r="M43" s="79"/>
      <c r="N43" s="4"/>
      <c r="O43" s="4"/>
      <c r="P43" s="4"/>
      <c r="Q43" s="4"/>
      <c r="R43" s="4"/>
      <c r="S43" s="4"/>
      <c r="T43" s="4"/>
      <c r="W43" s="79"/>
      <c r="X43" s="79"/>
    </row>
    <row r="44" spans="4:24" x14ac:dyDescent="0.2">
      <c r="D44" s="4"/>
      <c r="E44" s="4"/>
      <c r="F44" s="4"/>
      <c r="G44" s="4"/>
      <c r="H44" s="4"/>
      <c r="I44" s="4"/>
      <c r="J44" s="4"/>
      <c r="K44" s="4"/>
      <c r="L44" s="4"/>
      <c r="M44" s="79"/>
      <c r="N44" s="4"/>
      <c r="O44" s="4"/>
      <c r="P44" s="4"/>
      <c r="Q44" s="4"/>
      <c r="R44" s="4"/>
      <c r="S44" s="4"/>
      <c r="T44" s="4"/>
      <c r="W44" s="79"/>
      <c r="X44" s="79"/>
    </row>
    <row r="45" spans="4:24" x14ac:dyDescent="0.2">
      <c r="D45" s="4"/>
      <c r="E45" s="4"/>
      <c r="F45" s="4"/>
      <c r="G45" s="4"/>
      <c r="H45" s="4"/>
      <c r="I45" s="4"/>
      <c r="J45" s="4"/>
      <c r="K45" s="4"/>
      <c r="L45" s="4"/>
      <c r="M45" s="79"/>
      <c r="N45" s="4"/>
      <c r="O45" s="4"/>
      <c r="P45" s="4"/>
      <c r="Q45" s="4"/>
      <c r="R45" s="4"/>
      <c r="S45" s="4"/>
      <c r="T45" s="4"/>
      <c r="W45" s="79"/>
      <c r="X45" s="79"/>
    </row>
    <row r="46" spans="4:24" ht="15.75" x14ac:dyDescent="0.2">
      <c r="D46" s="4"/>
      <c r="E46" s="4"/>
      <c r="F46" s="1"/>
      <c r="G46" s="1"/>
      <c r="H46" s="1"/>
      <c r="I46" s="1"/>
      <c r="J46" s="1"/>
      <c r="K46" s="1"/>
      <c r="L46" s="1"/>
      <c r="M46" s="80"/>
      <c r="N46" s="1"/>
      <c r="O46" s="1"/>
      <c r="P46" s="1"/>
      <c r="Q46" s="1"/>
      <c r="R46" s="1"/>
      <c r="S46" s="1"/>
      <c r="T46" s="1"/>
      <c r="W46" s="80"/>
      <c r="X46" s="80"/>
    </row>
    <row r="47" spans="4:24" ht="15.75" x14ac:dyDescent="0.2">
      <c r="D47" s="4"/>
      <c r="E47" s="4"/>
      <c r="F47" s="1"/>
      <c r="G47" s="1"/>
      <c r="H47" s="1"/>
      <c r="I47" s="1"/>
      <c r="J47" s="1"/>
      <c r="K47" s="1"/>
      <c r="L47" s="1"/>
      <c r="M47" s="80"/>
      <c r="N47" s="1"/>
      <c r="O47" s="1"/>
      <c r="P47" s="1"/>
      <c r="Q47" s="1"/>
      <c r="R47" s="1"/>
      <c r="S47" s="1"/>
      <c r="T47" s="1"/>
      <c r="W47" s="80"/>
      <c r="X47" s="80"/>
    </row>
    <row r="48" spans="4:24" ht="15.75" x14ac:dyDescent="0.2">
      <c r="D48" s="4"/>
      <c r="E48" s="4"/>
      <c r="F48" s="1"/>
      <c r="G48" s="1"/>
      <c r="H48" s="1"/>
      <c r="I48" s="1"/>
      <c r="J48" s="1"/>
      <c r="K48" s="1"/>
      <c r="L48" s="1"/>
      <c r="M48" s="80"/>
      <c r="N48" s="1"/>
      <c r="O48" s="1"/>
      <c r="P48" s="1"/>
      <c r="Q48" s="1"/>
      <c r="R48" s="1"/>
      <c r="S48" s="1"/>
      <c r="T48" s="1"/>
      <c r="W48" s="80"/>
      <c r="X48" s="80"/>
    </row>
    <row r="49" spans="4:24" ht="15.75" x14ac:dyDescent="0.2">
      <c r="D49" s="4"/>
      <c r="E49" s="4"/>
      <c r="F49" s="1"/>
      <c r="G49" s="1"/>
      <c r="H49" s="1"/>
      <c r="I49" s="1"/>
      <c r="J49" s="1"/>
      <c r="K49" s="1"/>
      <c r="L49" s="1"/>
      <c r="M49" s="80"/>
      <c r="N49" s="1"/>
      <c r="O49" s="1"/>
      <c r="P49" s="1"/>
      <c r="Q49" s="1"/>
      <c r="R49" s="1"/>
      <c r="S49" s="1"/>
      <c r="T49" s="1"/>
      <c r="W49" s="80"/>
      <c r="X49" s="80"/>
    </row>
    <row r="50" spans="4:24" ht="15.75" x14ac:dyDescent="0.2">
      <c r="D50" s="4"/>
      <c r="E50" s="4"/>
      <c r="F50" s="1"/>
      <c r="G50" s="1"/>
      <c r="H50" s="1"/>
      <c r="I50" s="1"/>
      <c r="J50" s="1"/>
      <c r="K50" s="1"/>
      <c r="L50" s="1"/>
      <c r="M50" s="80"/>
      <c r="N50" s="1"/>
      <c r="O50" s="1"/>
      <c r="P50" s="1"/>
      <c r="Q50" s="1"/>
      <c r="R50" s="1"/>
      <c r="S50" s="1"/>
      <c r="T50" s="1"/>
      <c r="W50" s="80"/>
      <c r="X50" s="80"/>
    </row>
    <row r="51" spans="4:24" ht="15.75" x14ac:dyDescent="0.2">
      <c r="D51" s="4"/>
      <c r="E51" s="4"/>
      <c r="F51" s="1"/>
      <c r="G51" s="1"/>
      <c r="H51" s="1"/>
      <c r="I51" s="1"/>
      <c r="J51" s="1"/>
      <c r="K51" s="1"/>
      <c r="L51" s="1"/>
      <c r="M51" s="80"/>
      <c r="N51" s="1"/>
      <c r="O51" s="1"/>
      <c r="P51" s="1"/>
      <c r="Q51" s="1"/>
      <c r="R51" s="1"/>
      <c r="S51" s="1"/>
      <c r="T51" s="1"/>
      <c r="W51" s="80"/>
      <c r="X51" s="80"/>
    </row>
    <row r="52" spans="4:24" ht="15.75" x14ac:dyDescent="0.2">
      <c r="D52" s="4"/>
      <c r="E52" s="4"/>
      <c r="F52" s="1"/>
      <c r="G52" s="1"/>
      <c r="H52" s="1"/>
      <c r="I52" s="1"/>
      <c r="J52" s="1"/>
      <c r="K52" s="1"/>
      <c r="L52" s="1"/>
      <c r="M52" s="80"/>
      <c r="N52" s="1"/>
      <c r="O52" s="1"/>
      <c r="P52" s="1"/>
      <c r="Q52" s="1"/>
      <c r="R52" s="1"/>
      <c r="S52" s="1"/>
      <c r="T52" s="1"/>
      <c r="W52" s="80"/>
      <c r="X52" s="80"/>
    </row>
    <row r="53" spans="4:24" ht="15.75" x14ac:dyDescent="0.2">
      <c r="D53" s="4"/>
      <c r="E53" s="4"/>
      <c r="F53" s="1"/>
      <c r="G53" s="1"/>
      <c r="H53" s="1"/>
      <c r="I53" s="1"/>
      <c r="J53" s="1"/>
      <c r="K53" s="1"/>
      <c r="L53" s="1"/>
      <c r="M53" s="80"/>
      <c r="N53" s="1"/>
      <c r="O53" s="1"/>
      <c r="P53" s="1"/>
      <c r="Q53" s="1"/>
      <c r="R53" s="1"/>
      <c r="S53" s="1"/>
      <c r="T53" s="1"/>
      <c r="W53" s="80"/>
      <c r="X53" s="80"/>
    </row>
    <row r="54" spans="4:24" ht="15.75" x14ac:dyDescent="0.2">
      <c r="D54" s="4"/>
      <c r="E54" s="4"/>
      <c r="F54" s="1"/>
      <c r="G54" s="1"/>
      <c r="H54" s="1"/>
      <c r="I54" s="1"/>
      <c r="J54" s="1"/>
      <c r="K54" s="1"/>
      <c r="L54" s="1"/>
      <c r="M54" s="80"/>
      <c r="N54" s="1"/>
      <c r="O54" s="1"/>
      <c r="P54" s="1"/>
      <c r="Q54" s="1"/>
      <c r="R54" s="1"/>
      <c r="S54" s="1"/>
      <c r="T54" s="1"/>
      <c r="W54" s="80"/>
      <c r="X54" s="80"/>
    </row>
    <row r="55" spans="4:24" ht="15.75" x14ac:dyDescent="0.2">
      <c r="D55" s="4"/>
      <c r="E55" s="4"/>
      <c r="F55" s="1"/>
      <c r="G55" s="1"/>
      <c r="H55" s="1"/>
      <c r="I55" s="1"/>
      <c r="J55" s="1"/>
      <c r="K55" s="1"/>
      <c r="L55" s="1"/>
      <c r="M55" s="80"/>
      <c r="N55" s="1"/>
      <c r="O55" s="1"/>
      <c r="P55" s="1"/>
      <c r="Q55" s="1"/>
      <c r="R55" s="1"/>
      <c r="S55" s="1"/>
      <c r="T55" s="1"/>
      <c r="W55" s="80"/>
      <c r="X55" s="80"/>
    </row>
  </sheetData>
  <mergeCells count="12">
    <mergeCell ref="A21:D21"/>
    <mergeCell ref="A22:D22"/>
    <mergeCell ref="A23:D23"/>
    <mergeCell ref="A24:D24"/>
    <mergeCell ref="A25:D25"/>
    <mergeCell ref="A19:D19"/>
    <mergeCell ref="A20:D20"/>
    <mergeCell ref="E3:F3"/>
    <mergeCell ref="E4:F4"/>
    <mergeCell ref="E5:F5"/>
    <mergeCell ref="E6:F6"/>
    <mergeCell ref="E7:F7"/>
  </mergeCells>
  <phoneticPr fontId="11" type="noConversion"/>
  <pageMargins left="0.75" right="0.75" top="1" bottom="1" header="0.5" footer="0.5"/>
  <pageSetup paperSize="9" orientation="portrait" verticalDpi="0" r:id="rId1"/>
  <headerFooter alignWithMargins="0"/>
  <ignoredErrors>
    <ignoredError sqref="F21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16"/>
  <sheetViews>
    <sheetView workbookViewId="0">
      <selection activeCell="E9" sqref="E9"/>
    </sheetView>
  </sheetViews>
  <sheetFormatPr defaultRowHeight="12.75" x14ac:dyDescent="0.2"/>
  <cols>
    <col min="4" max="4" width="46" customWidth="1"/>
    <col min="8" max="8" width="15.85546875" style="40" customWidth="1"/>
  </cols>
  <sheetData>
    <row r="2" spans="3:10" x14ac:dyDescent="0.2">
      <c r="D2" s="91" t="s">
        <v>10</v>
      </c>
      <c r="E2" s="91"/>
      <c r="F2" s="91"/>
      <c r="G2" s="91"/>
    </row>
    <row r="3" spans="3:10" ht="12.75" customHeight="1" x14ac:dyDescent="0.2"/>
    <row r="5" spans="3:10" ht="33.75" x14ac:dyDescent="0.2">
      <c r="C5" s="41" t="s">
        <v>11</v>
      </c>
      <c r="D5" s="41" t="s">
        <v>12</v>
      </c>
      <c r="E5" s="41" t="s">
        <v>13</v>
      </c>
      <c r="F5" s="42" t="s">
        <v>14</v>
      </c>
      <c r="G5" s="42" t="s">
        <v>15</v>
      </c>
      <c r="H5" s="42" t="s">
        <v>16</v>
      </c>
      <c r="I5" s="41" t="s">
        <v>17</v>
      </c>
      <c r="J5" s="41" t="s">
        <v>18</v>
      </c>
    </row>
    <row r="6" spans="3:10" x14ac:dyDescent="0.2">
      <c r="C6" s="43">
        <v>1</v>
      </c>
      <c r="D6" s="44" t="s">
        <v>19</v>
      </c>
      <c r="E6" s="45" t="s">
        <v>20</v>
      </c>
      <c r="F6" s="45"/>
      <c r="G6" s="45" t="s">
        <v>21</v>
      </c>
      <c r="H6" s="45"/>
      <c r="I6" s="44"/>
      <c r="J6" s="44"/>
    </row>
    <row r="7" spans="3:10" x14ac:dyDescent="0.2">
      <c r="C7" s="43">
        <v>2</v>
      </c>
      <c r="D7" s="44" t="s">
        <v>22</v>
      </c>
      <c r="E7" s="45" t="s">
        <v>20</v>
      </c>
      <c r="F7" s="45"/>
      <c r="G7" s="45" t="s">
        <v>21</v>
      </c>
      <c r="H7" s="45"/>
      <c r="I7" s="44"/>
      <c r="J7" s="44"/>
    </row>
    <row r="8" spans="3:10" x14ac:dyDescent="0.2">
      <c r="C8" s="43">
        <v>3</v>
      </c>
      <c r="D8" s="44" t="s">
        <v>23</v>
      </c>
      <c r="E8" s="45" t="s">
        <v>20</v>
      </c>
      <c r="F8" s="45"/>
      <c r="G8" s="45" t="s">
        <v>21</v>
      </c>
      <c r="H8" s="45"/>
      <c r="I8" s="44"/>
      <c r="J8" s="44"/>
    </row>
    <row r="9" spans="3:10" x14ac:dyDescent="0.2">
      <c r="C9" s="43">
        <v>4</v>
      </c>
      <c r="D9" s="44" t="s">
        <v>24</v>
      </c>
      <c r="E9" s="45" t="s">
        <v>21</v>
      </c>
      <c r="F9" s="45" t="s">
        <v>25</v>
      </c>
      <c r="G9" s="45" t="s">
        <v>25</v>
      </c>
      <c r="H9" s="45"/>
      <c r="I9" s="44"/>
      <c r="J9" s="44"/>
    </row>
    <row r="10" spans="3:10" x14ac:dyDescent="0.2">
      <c r="C10" s="43">
        <v>5</v>
      </c>
      <c r="D10" s="44" t="s">
        <v>26</v>
      </c>
      <c r="E10" s="45" t="s">
        <v>21</v>
      </c>
      <c r="F10" s="45" t="s">
        <v>25</v>
      </c>
      <c r="G10" s="45" t="s">
        <v>25</v>
      </c>
      <c r="H10" s="45"/>
      <c r="I10" s="44"/>
      <c r="J10" s="44"/>
    </row>
    <row r="11" spans="3:10" x14ac:dyDescent="0.2">
      <c r="C11" s="43">
        <v>6</v>
      </c>
      <c r="D11" s="44" t="s">
        <v>27</v>
      </c>
      <c r="E11" s="45" t="s">
        <v>21</v>
      </c>
      <c r="F11" s="45" t="s">
        <v>25</v>
      </c>
      <c r="G11" s="45" t="s">
        <v>25</v>
      </c>
      <c r="H11" s="45"/>
      <c r="I11" s="44"/>
      <c r="J11" s="44"/>
    </row>
    <row r="12" spans="3:10" x14ac:dyDescent="0.2">
      <c r="C12" s="43">
        <v>7</v>
      </c>
      <c r="D12" s="44" t="s">
        <v>29</v>
      </c>
      <c r="E12" s="45" t="s">
        <v>30</v>
      </c>
      <c r="F12" s="44"/>
      <c r="G12" s="45"/>
      <c r="H12" s="44"/>
      <c r="I12" s="44"/>
      <c r="J12" s="44"/>
    </row>
    <row r="13" spans="3:10" x14ac:dyDescent="0.2">
      <c r="C13" s="43"/>
      <c r="D13" s="44"/>
      <c r="E13" s="45"/>
      <c r="F13" s="44"/>
      <c r="G13" s="45"/>
      <c r="H13" s="44"/>
      <c r="I13" s="44"/>
      <c r="J13" s="44"/>
    </row>
    <row r="14" spans="3:10" x14ac:dyDescent="0.2">
      <c r="C14" s="43"/>
      <c r="D14" s="46"/>
      <c r="E14" s="43"/>
      <c r="F14" s="43"/>
      <c r="G14" s="43"/>
      <c r="H14" s="43"/>
      <c r="I14" s="43"/>
      <c r="J14" s="43"/>
    </row>
    <row r="15" spans="3:10" x14ac:dyDescent="0.2">
      <c r="C15" s="44"/>
      <c r="D15" s="44"/>
      <c r="E15" s="44"/>
      <c r="F15" s="44"/>
      <c r="G15" s="44"/>
      <c r="H15" s="47"/>
      <c r="I15" s="44"/>
      <c r="J15" s="44"/>
    </row>
    <row r="16" spans="3:10" x14ac:dyDescent="0.2">
      <c r="C16" s="92" t="s">
        <v>28</v>
      </c>
      <c r="D16" s="92"/>
      <c r="E16" s="92"/>
      <c r="F16" s="92"/>
      <c r="G16" s="92"/>
      <c r="H16" s="47"/>
      <c r="I16" s="44"/>
      <c r="J16" s="44"/>
    </row>
  </sheetData>
  <mergeCells count="2">
    <mergeCell ref="D2:G2"/>
    <mergeCell ref="C16:G16"/>
  </mergeCells>
  <phoneticPr fontId="1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1" sqref="B1"/>
    </sheetView>
  </sheetViews>
  <sheetFormatPr defaultRowHeight="12.75" x14ac:dyDescent="0.2"/>
  <cols>
    <col min="1" max="1" width="12.85546875" bestFit="1" customWidth="1"/>
  </cols>
  <sheetData>
    <row r="1" spans="1:2" x14ac:dyDescent="0.2">
      <c r="A1" t="s">
        <v>43</v>
      </c>
      <c r="B1">
        <f>MATCH("TOTAL BASIC VALUE",'SPACE WOOD ITEMWISE BOM'!A:A,0)-1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SPACE WOOD ITEMWISE BOM</vt:lpstr>
      <vt:lpstr>FULL_HEIGHT_WALLSUMMARY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SOS</cp:lastModifiedBy>
  <dcterms:created xsi:type="dcterms:W3CDTF">2010-09-25T09:30:57Z</dcterms:created>
  <dcterms:modified xsi:type="dcterms:W3CDTF">2026-07-29T07:25:46Z</dcterms:modified>
</cp:coreProperties>
</file>